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 Dashboard" sheetId="1" state="visible" r:id="rId1"/>
    <sheet xmlns:r="http://schemas.openxmlformats.org/officeDocument/2006/relationships" name="Master Ledger &amp; GST Invoices" sheetId="2" state="visible" r:id="rId2"/>
    <sheet xmlns:r="http://schemas.openxmlformats.org/officeDocument/2006/relationships" name="Multi-Currency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10"/>
    </font>
    <font>
      <name val="Calibri"/>
      <b val="1"/>
      <color rgb="000F172A"/>
      <sz val="10"/>
    </font>
    <font>
      <name val="Calibri"/>
      <b val="1"/>
      <color rgb="00FFFFFF"/>
      <sz val="10"/>
    </font>
    <font>
      <name val="Calibri"/>
      <color rgb="001E293B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4" fillId="2" borderId="0" pivotButton="0" quotePrefix="0" xfId="0"/>
    <xf numFmtId="164" fontId="4" fillId="2" borderId="0" applyAlignment="1" pivotButton="0" quotePrefix="0" xfId="0">
      <alignment horizontal="right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4" fontId="5" fillId="0" borderId="2" pivotButton="0" quotePrefix="0" xfId="0"/>
    <xf numFmtId="9" fontId="5" fillId="0" borderId="2" applyAlignment="1" pivotButton="0" quotePrefix="0" xfId="0">
      <alignment horizontal="center" vertical="center"/>
    </xf>
    <xf numFmtId="0" fontId="0" fillId="0" borderId="1" pivotButton="0" quotePrefix="0" xfId="0"/>
    <xf numFmtId="164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103" customWidth="1" min="1" max="1"/>
    <col width="65" customWidth="1" min="2" max="2"/>
    <col width="102" customWidth="1" min="3" max="3"/>
    <col width="24" customWidth="1" min="4" max="4"/>
  </cols>
  <sheetData>
    <row r="1">
      <c r="A1" s="1" t="inlineStr">
        <is>
          <t>ACCOUNTS RECEIVABLE (AR) AGING &amp; GST FINANCIAL DASHBOARD</t>
        </is>
      </c>
    </row>
    <row r="2">
      <c r="A2" s="2" t="inlineStr">
        <is>
          <t>Automated Multi-Currency Ledger, Tax Calculator, and 30/60/90 Day Aging Tracker | Author: Dev Sarma</t>
        </is>
      </c>
    </row>
    <row r="3"/>
    <row r="4">
      <c r="A4" s="3" t="inlineStr">
        <is>
          <t>Total Outstanding AR</t>
        </is>
      </c>
      <c r="C4" s="4">
        <f>SUM('Master Ledger &amp; GST Invoices'!H5:H14)</f>
        <v/>
      </c>
    </row>
    <row r="5"/>
    <row r="6">
      <c r="A6" s="3" t="inlineStr">
        <is>
          <t>Current / Not Overdue</t>
        </is>
      </c>
      <c r="C6" s="4">
        <f>SUMIF('Master Ledger &amp; GST Invoices'!I5:I14, "Current", 'Master Ledger &amp; GST Invoices'!H5:H14)</f>
        <v/>
      </c>
    </row>
    <row r="7"/>
    <row r="8">
      <c r="A8" s="3" t="inlineStr">
        <is>
          <t>30–60 Days Overdue</t>
        </is>
      </c>
      <c r="C8" s="4">
        <f>SUMIF('Master Ledger &amp; GST Invoices'!I5:I14, "30-60 Days", 'Master Ledger &amp; GST Invoices'!H5:H14)</f>
        <v/>
      </c>
    </row>
    <row r="9"/>
    <row r="10">
      <c r="A10" s="5" t="inlineStr">
        <is>
          <t>AR Aging Bucket</t>
        </is>
      </c>
      <c r="B10" s="6" t="inlineStr">
        <is>
          <t>Invoice Count</t>
        </is>
      </c>
      <c r="C10" s="7" t="inlineStr">
        <is>
          <t>Total Amount (INR)</t>
        </is>
      </c>
      <c r="D10" s="6" t="inlineStr">
        <is>
          <t>% of Total Portfolio</t>
        </is>
      </c>
    </row>
    <row r="11">
      <c r="A11" s="8" t="inlineStr">
        <is>
          <t>Current (0-30 Days)</t>
        </is>
      </c>
      <c r="B11" s="9">
        <f>COUNTIF('Master Ledger &amp; GST Invoices'!I5:I14, "Current")</f>
        <v/>
      </c>
      <c r="C11" s="10">
        <f>SUMIF('Master Ledger &amp; GST Invoices'!I5:I14, "Current", 'Master Ledger &amp; GST Invoices'!H5:H14)</f>
        <v/>
      </c>
      <c r="D11" s="11">
        <f>C11/C14</f>
        <v/>
      </c>
    </row>
    <row r="12">
      <c r="A12" s="8" t="inlineStr">
        <is>
          <t>30-60 Days Overdue</t>
        </is>
      </c>
      <c r="B12" s="9">
        <f>COUNTIF('Master Ledger &amp; GST Invoices'!I5:I14, "30-60 Days")</f>
        <v/>
      </c>
      <c r="C12" s="10">
        <f>SUMIF('Master Ledger &amp; GST Invoices'!I5:I14, "30-60 Days", 'Master Ledger &amp; GST Invoices'!H5:H14)</f>
        <v/>
      </c>
      <c r="D12" s="11">
        <f>C12/C14</f>
        <v/>
      </c>
    </row>
    <row r="13">
      <c r="A13" s="8" t="inlineStr">
        <is>
          <t>60+ Days Overdue</t>
        </is>
      </c>
      <c r="B13" s="9">
        <f>COUNTIF('Master Ledger &amp; GST Invoices'!I5:I14, "60+ Days")</f>
        <v/>
      </c>
      <c r="C13" s="10">
        <f>SUMIF('Master Ledger &amp; GST Invoices'!I5:I14, "60+ Days", 'Master Ledger &amp; GST Invoices'!H5:H14)</f>
        <v/>
      </c>
      <c r="D13" s="11">
        <f>C13/C14</f>
        <v/>
      </c>
    </row>
    <row r="14">
      <c r="A14" s="12" t="inlineStr">
        <is>
          <t>Total Portfolio</t>
        </is>
      </c>
      <c r="B14" s="13">
        <f>SUM(B11:B13)</f>
        <v/>
      </c>
      <c r="C14" s="14">
        <f>SUM(C11:C13)</f>
        <v/>
      </c>
      <c r="D14" s="15">
        <f>SUM(D11:D13)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97" customWidth="1" min="1" max="1"/>
    <col width="32" customWidth="1" min="2" max="2"/>
    <col width="14" customWidth="1" min="3" max="3"/>
    <col width="12" customWidth="1" min="4" max="4"/>
    <col width="37" customWidth="1" min="5" max="5"/>
    <col width="12" customWidth="1" min="6" max="6"/>
    <col width="14" customWidth="1" min="7" max="7"/>
    <col width="19" customWidth="1" min="8" max="8"/>
    <col width="16" customWidth="1" min="9" max="9"/>
    <col width="18" customWidth="1" min="10" max="10"/>
  </cols>
  <sheetData>
    <row r="1">
      <c r="A1" s="1" t="inlineStr">
        <is>
          <t>MASTER INVOICE &amp; ACCOUNTS RECEIVABLE LEDGER</t>
        </is>
      </c>
    </row>
    <row r="2">
      <c r="A2" s="2" t="inlineStr">
        <is>
          <t>GST-compliant tax calculations, multi-currency conversion, and dynamic aging status formulas.</t>
        </is>
      </c>
    </row>
    <row r="3"/>
    <row r="4">
      <c r="A4" s="16" t="inlineStr">
        <is>
          <t>Invoice ID</t>
        </is>
      </c>
      <c r="B4" s="16" t="inlineStr">
        <is>
          <t>Client Name</t>
        </is>
      </c>
      <c r="C4" s="16" t="inlineStr">
        <is>
          <t>State Code</t>
        </is>
      </c>
      <c r="D4" s="16" t="inlineStr">
        <is>
          <t>Currency</t>
        </is>
      </c>
      <c r="E4" s="16" t="inlineStr">
        <is>
          <t>Base Amount</t>
        </is>
      </c>
      <c r="F4" s="16" t="inlineStr">
        <is>
          <t>GST Rate</t>
        </is>
      </c>
      <c r="G4" s="16" t="inlineStr">
        <is>
          <t>GST Amount</t>
        </is>
      </c>
      <c r="H4" s="16" t="inlineStr">
        <is>
          <t>Total Due (INR)</t>
        </is>
      </c>
      <c r="I4" s="16" t="inlineStr">
        <is>
          <t>Aging Status</t>
        </is>
      </c>
      <c r="J4" s="16" t="inlineStr">
        <is>
          <t>Payment Status</t>
        </is>
      </c>
    </row>
    <row r="5">
      <c r="A5" s="17" t="inlineStr">
        <is>
          <t>INV-2026-001</t>
        </is>
      </c>
      <c r="B5" s="18" t="inlineStr">
        <is>
          <t>Apex Cloud Hosting Solutions</t>
        </is>
      </c>
      <c r="C5" s="17" t="inlineStr">
        <is>
          <t>19-WB</t>
        </is>
      </c>
      <c r="D5" s="17" t="inlineStr">
        <is>
          <t>INR</t>
        </is>
      </c>
      <c r="E5" s="19" t="n">
        <v>45000</v>
      </c>
      <c r="F5" s="20" t="n">
        <v>0.18</v>
      </c>
      <c r="G5" s="19">
        <f>E5*F5</f>
        <v/>
      </c>
      <c r="H5" s="19">
        <f>E5+G5</f>
        <v/>
      </c>
      <c r="I5" s="17" t="inlineStr">
        <is>
          <t>Current</t>
        </is>
      </c>
      <c r="J5" s="17" t="inlineStr">
        <is>
          <t>Unpaid</t>
        </is>
      </c>
    </row>
    <row r="6">
      <c r="A6" s="17" t="inlineStr">
        <is>
          <t>INV-2026-002</t>
        </is>
      </c>
      <c r="B6" s="18" t="inlineStr">
        <is>
          <t>Vortex Media SaaS Ltd.</t>
        </is>
      </c>
      <c r="C6" s="17" t="inlineStr">
        <is>
          <t>27-MH</t>
        </is>
      </c>
      <c r="D6" s="17" t="inlineStr">
        <is>
          <t>USD</t>
        </is>
      </c>
      <c r="E6" s="19">
        <f>1200*'Multi-Currency Tracker'!B3</f>
        <v/>
      </c>
      <c r="F6" s="20" t="n">
        <v>0.18</v>
      </c>
      <c r="G6" s="19">
        <f>E6*F6</f>
        <v/>
      </c>
      <c r="H6" s="19">
        <f>E6+G6</f>
        <v/>
      </c>
      <c r="I6" s="17" t="inlineStr">
        <is>
          <t>30-60 Days</t>
        </is>
      </c>
      <c r="J6" s="17" t="inlineStr">
        <is>
          <t>Unpaid</t>
        </is>
      </c>
    </row>
    <row r="7">
      <c r="A7" s="17" t="inlineStr">
        <is>
          <t>INV-2026-003</t>
        </is>
      </c>
      <c r="B7" s="18" t="inlineStr">
        <is>
          <t>Kolkata Tech Hub</t>
        </is>
      </c>
      <c r="C7" s="17" t="inlineStr">
        <is>
          <t>19-WB</t>
        </is>
      </c>
      <c r="D7" s="17" t="inlineStr">
        <is>
          <t>INR</t>
        </is>
      </c>
      <c r="E7" s="19" t="n">
        <v>18500</v>
      </c>
      <c r="F7" s="20" t="n">
        <v>0.18</v>
      </c>
      <c r="G7" s="19">
        <f>E7*F7</f>
        <v/>
      </c>
      <c r="H7" s="19">
        <f>E7+G7</f>
        <v/>
      </c>
      <c r="I7" s="17" t="inlineStr">
        <is>
          <t>Current</t>
        </is>
      </c>
      <c r="J7" s="17" t="inlineStr">
        <is>
          <t>Paid</t>
        </is>
      </c>
    </row>
    <row r="8">
      <c r="A8" s="17" t="inlineStr">
        <is>
          <t>INV-2026-004</t>
        </is>
      </c>
      <c r="B8" s="18" t="inlineStr">
        <is>
          <t>Nordic Server Cluster</t>
        </is>
      </c>
      <c r="C8" s="17" t="inlineStr">
        <is>
          <t>07-DL</t>
        </is>
      </c>
      <c r="D8" s="17" t="inlineStr">
        <is>
          <t>EUR</t>
        </is>
      </c>
      <c r="E8" s="19">
        <f>950*'Multi-Currency Tracker'!B4</f>
        <v/>
      </c>
      <c r="F8" s="20" t="n">
        <v>0.18</v>
      </c>
      <c r="G8" s="19">
        <f>E8*F8</f>
        <v/>
      </c>
      <c r="H8" s="19">
        <f>E8+G8</f>
        <v/>
      </c>
      <c r="I8" s="17" t="inlineStr">
        <is>
          <t>60+ Days</t>
        </is>
      </c>
      <c r="J8" s="17" t="inlineStr">
        <is>
          <t>Unpaid</t>
        </is>
      </c>
    </row>
    <row r="9">
      <c r="A9" s="17" t="inlineStr">
        <is>
          <t>INV-2026-005</t>
        </is>
      </c>
      <c r="B9" s="18" t="inlineStr">
        <is>
          <t>Bengal Web Solutions</t>
        </is>
      </c>
      <c r="C9" s="17" t="inlineStr">
        <is>
          <t>19-WB</t>
        </is>
      </c>
      <c r="D9" s="17" t="inlineStr">
        <is>
          <t>INR</t>
        </is>
      </c>
      <c r="E9" s="19" t="n">
        <v>25000</v>
      </c>
      <c r="F9" s="20" t="n">
        <v>0.18</v>
      </c>
      <c r="G9" s="19">
        <f>E9*F9</f>
        <v/>
      </c>
      <c r="H9" s="19">
        <f>E9+G9</f>
        <v/>
      </c>
      <c r="I9" s="17" t="inlineStr">
        <is>
          <t>Current</t>
        </is>
      </c>
      <c r="J9" s="17" t="inlineStr">
        <is>
          <t>Unpaid</t>
        </is>
      </c>
    </row>
    <row r="10">
      <c r="A10" s="17" t="inlineStr">
        <is>
          <t>INV-2026-006</t>
        </is>
      </c>
      <c r="B10" s="18" t="inlineStr">
        <is>
          <t>Alpha Byte Technologies</t>
        </is>
      </c>
      <c r="C10" s="17" t="inlineStr">
        <is>
          <t>29-KA</t>
        </is>
      </c>
      <c r="D10" s="17" t="inlineStr">
        <is>
          <t>INR</t>
        </is>
      </c>
      <c r="E10" s="19" t="n">
        <v>60000</v>
      </c>
      <c r="F10" s="20" t="n">
        <v>0.18</v>
      </c>
      <c r="G10" s="19">
        <f>E10*F10</f>
        <v/>
      </c>
      <c r="H10" s="19">
        <f>E10+G10</f>
        <v/>
      </c>
      <c r="I10" s="17" t="inlineStr">
        <is>
          <t>30-60 Days</t>
        </is>
      </c>
      <c r="J10" s="17" t="inlineStr">
        <is>
          <t>Unpaid</t>
        </is>
      </c>
    </row>
    <row r="11">
      <c r="A11" s="17" t="inlineStr">
        <is>
          <t>INV-2026-007</t>
        </is>
      </c>
      <c r="B11" s="18" t="inlineStr">
        <is>
          <t>Delta Systems Corp</t>
        </is>
      </c>
      <c r="C11" s="17" t="inlineStr">
        <is>
          <t>33-TN</t>
        </is>
      </c>
      <c r="D11" s="17" t="inlineStr">
        <is>
          <t>USD</t>
        </is>
      </c>
      <c r="E11" s="19">
        <f>2400*'Multi-Currency Tracker'!B3</f>
        <v/>
      </c>
      <c r="F11" s="20" t="n">
        <v>0.18</v>
      </c>
      <c r="G11" s="19">
        <f>E11*F11</f>
        <v/>
      </c>
      <c r="H11" s="19">
        <f>E11+G11</f>
        <v/>
      </c>
      <c r="I11" s="17" t="inlineStr">
        <is>
          <t>Current</t>
        </is>
      </c>
      <c r="J11" s="17" t="inlineStr">
        <is>
          <t>Paid</t>
        </is>
      </c>
    </row>
    <row r="12">
      <c r="A12" s="17" t="inlineStr">
        <is>
          <t>INV-2026-008</t>
        </is>
      </c>
      <c r="B12" s="18" t="inlineStr">
        <is>
          <t>Cyber Shield Networks</t>
        </is>
      </c>
      <c r="C12" s="17" t="inlineStr">
        <is>
          <t>19-WB</t>
        </is>
      </c>
      <c r="D12" s="17" t="inlineStr">
        <is>
          <t>INR</t>
        </is>
      </c>
      <c r="E12" s="19" t="n">
        <v>32000</v>
      </c>
      <c r="F12" s="20" t="n">
        <v>0.18</v>
      </c>
      <c r="G12" s="19">
        <f>E12*F12</f>
        <v/>
      </c>
      <c r="H12" s="19">
        <f>E12+G12</f>
        <v/>
      </c>
      <c r="I12" s="17" t="inlineStr">
        <is>
          <t>60+ Days</t>
        </is>
      </c>
      <c r="J12" s="17" t="inlineStr">
        <is>
          <t>Unpaid</t>
        </is>
      </c>
    </row>
    <row r="13">
      <c r="A13" s="17" t="inlineStr">
        <is>
          <t>INV-2026-009</t>
        </is>
      </c>
      <c r="B13" s="18" t="inlineStr">
        <is>
          <t>Orion Cloud Services</t>
        </is>
      </c>
      <c r="C13" s="17" t="inlineStr">
        <is>
          <t>27-MH</t>
        </is>
      </c>
      <c r="D13" s="17" t="inlineStr">
        <is>
          <t>INR</t>
        </is>
      </c>
      <c r="E13" s="19" t="n">
        <v>50000</v>
      </c>
      <c r="F13" s="20" t="n">
        <v>0.18</v>
      </c>
      <c r="G13" s="19">
        <f>E13*F13</f>
        <v/>
      </c>
      <c r="H13" s="19">
        <f>E13+G13</f>
        <v/>
      </c>
      <c r="I13" s="17" t="inlineStr">
        <is>
          <t>Current</t>
        </is>
      </c>
      <c r="J13" s="17" t="inlineStr">
        <is>
          <t>Unpaid</t>
        </is>
      </c>
    </row>
    <row r="14">
      <c r="A14" s="17" t="inlineStr">
        <is>
          <t>INV-2026-010</t>
        </is>
      </c>
      <c r="B14" s="18" t="inlineStr">
        <is>
          <t>Zenith Digital Ops</t>
        </is>
      </c>
      <c r="C14" s="17" t="inlineStr">
        <is>
          <t>07-DL</t>
        </is>
      </c>
      <c r="D14" s="17" t="inlineStr">
        <is>
          <t>EUR</t>
        </is>
      </c>
      <c r="E14" s="19">
        <f>1500*'Multi-Currency Tracker'!B4</f>
        <v/>
      </c>
      <c r="F14" s="20" t="n">
        <v>0.18</v>
      </c>
      <c r="G14" s="19">
        <f>E14*F14</f>
        <v/>
      </c>
      <c r="H14" s="19">
        <f>E14+G14</f>
        <v/>
      </c>
      <c r="I14" s="17" t="inlineStr">
        <is>
          <t>30-60 Days</t>
        </is>
      </c>
      <c r="J14" s="17" t="inlineStr">
        <is>
          <t>Unpaid</t>
        </is>
      </c>
    </row>
    <row r="15">
      <c r="A15" s="12" t="inlineStr">
        <is>
          <t>Total</t>
        </is>
      </c>
      <c r="B15" s="21" t="inlineStr"/>
      <c r="C15" s="21" t="inlineStr"/>
      <c r="D15" s="21" t="inlineStr"/>
      <c r="E15" s="21" t="inlineStr"/>
      <c r="F15" s="21" t="inlineStr"/>
      <c r="G15" s="21" t="inlineStr"/>
      <c r="H15" s="14">
        <f>SUM(H5:H14)</f>
        <v/>
      </c>
      <c r="I15" s="21" t="n"/>
      <c r="J15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24" customWidth="1" min="2" max="2"/>
    <col width="16" customWidth="1" min="3" max="3"/>
    <col width="17" customWidth="1" min="4" max="4"/>
  </cols>
  <sheetData>
    <row r="1">
      <c r="A1" s="1" t="inlineStr">
        <is>
          <t>MULTI-CURRENCY EXCHANGE RATE TRACKER</t>
        </is>
      </c>
    </row>
    <row r="2">
      <c r="A2" s="2" t="inlineStr">
        <is>
          <t>Real-time conversion benchmarks for USD and EUR billing adjustments.</t>
        </is>
      </c>
    </row>
    <row r="3"/>
    <row r="4">
      <c r="A4" s="16" t="inlineStr">
        <is>
          <t>Currency Code</t>
        </is>
      </c>
      <c r="B4" s="16" t="inlineStr">
        <is>
          <t>Exchange Rate to INR</t>
        </is>
      </c>
      <c r="C4" s="16" t="inlineStr">
        <is>
          <t>Last Updated</t>
        </is>
      </c>
      <c r="D4" s="16" t="inlineStr">
        <is>
          <t>Status</t>
        </is>
      </c>
    </row>
    <row r="5">
      <c r="A5" s="17" t="inlineStr">
        <is>
          <t>USD</t>
        </is>
      </c>
      <c r="B5" s="22" t="n">
        <v>83.5</v>
      </c>
      <c r="C5" s="17" t="inlineStr">
        <is>
          <t>2026-10-26</t>
        </is>
      </c>
      <c r="D5" s="17" t="inlineStr">
        <is>
          <t>Active</t>
        </is>
      </c>
    </row>
    <row r="6">
      <c r="A6" s="17" t="inlineStr">
        <is>
          <t>EUR</t>
        </is>
      </c>
      <c r="B6" s="22" t="n">
        <v>90.2</v>
      </c>
      <c r="C6" s="17" t="inlineStr">
        <is>
          <t>2026-10-26</t>
        </is>
      </c>
      <c r="D6" s="17" t="inlineStr">
        <is>
          <t>Active</t>
        </is>
      </c>
    </row>
    <row r="7">
      <c r="A7" s="17" t="inlineStr">
        <is>
          <t>INR</t>
        </is>
      </c>
      <c r="B7" s="22" t="n">
        <v>1</v>
      </c>
      <c r="C7" s="17" t="inlineStr">
        <is>
          <t>2026-10-26</t>
        </is>
      </c>
      <c r="D7" s="17" t="inlineStr">
        <is>
          <t>Base 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2026-10-26T16:52:00Z</dcterms:created>
  <dcterms:modified xmlns:dcterms="http://purl.org/dc/terms/" xmlns:xsi="http://www.w3.org/2001/XMLSchema-instance" xsi:type="dcterms:W3CDTF">2026-10-26T16:52:00Z</dcterms:modified>
</cp:coreProperties>
</file>